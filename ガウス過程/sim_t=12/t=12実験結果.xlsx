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ushiharatakuya/Desktop/大学院関連/劣化モデル/matlab/ガウス過程/sim_t=12/"/>
    </mc:Choice>
  </mc:AlternateContent>
  <xr:revisionPtr revIDLastSave="0" documentId="13_ncr:1_{3037866D-1DFC-454C-9AFF-1E7DAD09E434}" xr6:coauthVersionLast="45" xr6:coauthVersionMax="45" xr10:uidLastSave="{00000000-0000-0000-0000-000000000000}"/>
  <bookViews>
    <workbookView xWindow="1400" yWindow="1040" windowWidth="26460" windowHeight="16560" xr2:uid="{D0C3B0C8-0A22-394D-9D62-B363905F97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3" i="1"/>
  <c r="F23" i="1"/>
  <c r="E23" i="1"/>
  <c r="F22" i="1"/>
  <c r="E22" i="1"/>
  <c r="F21" i="1"/>
  <c r="E21" i="1"/>
  <c r="F20" i="1"/>
  <c r="E20" i="1"/>
  <c r="E19" i="1"/>
  <c r="F18" i="1"/>
  <c r="E18" i="1"/>
  <c r="F14" i="1"/>
  <c r="E14" i="1"/>
  <c r="F13" i="1"/>
  <c r="E13" i="1"/>
  <c r="F12" i="1"/>
  <c r="E12" i="1"/>
  <c r="F11" i="1"/>
  <c r="E11" i="1"/>
  <c r="F10" i="1"/>
  <c r="E10" i="1"/>
  <c r="E9" i="1"/>
  <c r="F5" i="1" l="1"/>
  <c r="F3" i="1"/>
</calcChain>
</file>

<file path=xl/sharedStrings.xml><?xml version="1.0" encoding="utf-8"?>
<sst xmlns="http://schemas.openxmlformats.org/spreadsheetml/2006/main" count="57" uniqueCount="29">
  <si>
    <t>モデル</t>
    <phoneticPr fontId="1"/>
  </si>
  <si>
    <t>simulation条件</t>
    <rPh sb="10" eb="12">
      <t>ジョウケn</t>
    </rPh>
    <phoneticPr fontId="1"/>
  </si>
  <si>
    <t>サンプル数</t>
    <phoneticPr fontId="1"/>
  </si>
  <si>
    <t>シミュレーション数</t>
    <phoneticPr fontId="1"/>
  </si>
  <si>
    <t>形状関数</t>
    <rPh sb="0" eb="4">
      <t>ケイジョウ</t>
    </rPh>
    <phoneticPr fontId="1"/>
  </si>
  <si>
    <t>形状関数の係数</t>
    <rPh sb="0" eb="4">
      <t>ケイジョウ</t>
    </rPh>
    <rPh sb="5" eb="7">
      <t>ケイスウ</t>
    </rPh>
    <phoneticPr fontId="1"/>
  </si>
  <si>
    <t>モデルの形状関数</t>
    <rPh sb="4" eb="8">
      <t>ケイジョウ</t>
    </rPh>
    <phoneticPr fontId="1"/>
  </si>
  <si>
    <t>a1=1,a2=1,a3=1</t>
    <phoneticPr fontId="1"/>
  </si>
  <si>
    <t>M4</t>
    <phoneticPr fontId="1"/>
  </si>
  <si>
    <t>y=t</t>
    <phoneticPr fontId="1"/>
  </si>
  <si>
    <t>y=t^gam</t>
    <phoneticPr fontId="1"/>
  </si>
  <si>
    <t>y=exp(gam*t)-1</t>
    <phoneticPr fontId="1"/>
  </si>
  <si>
    <t>ガウス、増分</t>
    <rPh sb="4" eb="6">
      <t>ゾウブn</t>
    </rPh>
    <phoneticPr fontId="1"/>
  </si>
  <si>
    <t>ガウス、累積</t>
    <rPh sb="3" eb="4">
      <t>、</t>
    </rPh>
    <rPh sb="4" eb="6">
      <t>ルイセキ</t>
    </rPh>
    <phoneticPr fontId="1"/>
  </si>
  <si>
    <t>mu=0.1 lambda=1</t>
    <phoneticPr fontId="1"/>
  </si>
  <si>
    <t>1~500</t>
    <phoneticPr fontId="1"/>
  </si>
  <si>
    <t>801~900</t>
    <phoneticPr fontId="1"/>
  </si>
  <si>
    <t>901~1000</t>
    <phoneticPr fontId="1"/>
  </si>
  <si>
    <t>501~800</t>
    <phoneticPr fontId="1"/>
  </si>
  <si>
    <t>M4</t>
  </si>
  <si>
    <t>MSE(t=12)</t>
    <phoneticPr fontId="1"/>
  </si>
  <si>
    <t>MSE(t=11)</t>
    <phoneticPr fontId="1"/>
  </si>
  <si>
    <t>初期点</t>
    <rPh sb="0" eb="3">
      <t>ショキ</t>
    </rPh>
    <phoneticPr fontId="1"/>
  </si>
  <si>
    <t>0.01 0.1 1だと時々、外れ値が出る</t>
    <rPh sb="12" eb="13">
      <t>トキドキ</t>
    </rPh>
    <rPh sb="15" eb="16">
      <t>ハズレテ</t>
    </rPh>
    <phoneticPr fontId="1"/>
  </si>
  <si>
    <t>GD初期値</t>
    <rPh sb="2" eb="5">
      <t>ショキ</t>
    </rPh>
    <phoneticPr fontId="1"/>
  </si>
  <si>
    <t xml:space="preserve">0.01 0.1 1 </t>
    <phoneticPr fontId="1"/>
  </si>
  <si>
    <t>0.01 0.1 1</t>
    <phoneticPr fontId="1"/>
  </si>
  <si>
    <t>0.01 0.1 0.1</t>
    <phoneticPr fontId="1"/>
  </si>
  <si>
    <t>ガウス、増分で形状関数</t>
    <rPh sb="4" eb="6">
      <t>ゾウブn</t>
    </rPh>
    <rPh sb="7" eb="11">
      <t>ケイジョウカ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</si>
</sst>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C8CBF-63E1-CE43-A355-DBCA1765C1CA}">
  <dimension ref="A1:O23"/>
  <sheetViews>
    <sheetView tabSelected="1" zoomScale="91" workbookViewId="0">
      <selection activeCell="F20" sqref="F20"/>
    </sheetView>
  </sheetViews>
  <sheetFormatPr baseColWidth="10" defaultRowHeight="20"/>
  <cols>
    <col min="1" max="1" width="11.7109375" customWidth="1"/>
    <col min="2" max="4" width="15" customWidth="1"/>
    <col min="5" max="6" width="12.7109375" bestFit="1" customWidth="1"/>
    <col min="8" max="8" width="13.140625" customWidth="1"/>
    <col min="9" max="9" width="16.28515625" customWidth="1"/>
    <col min="11" max="11" width="16.85546875" customWidth="1"/>
  </cols>
  <sheetData>
    <row r="1" spans="1:11">
      <c r="H1" t="s">
        <v>1</v>
      </c>
      <c r="I1" t="s">
        <v>14</v>
      </c>
    </row>
    <row r="2" spans="1:11">
      <c r="A2" t="s">
        <v>0</v>
      </c>
      <c r="B2" t="s">
        <v>6</v>
      </c>
      <c r="C2" t="s">
        <v>24</v>
      </c>
      <c r="D2" t="s">
        <v>22</v>
      </c>
      <c r="E2" t="s">
        <v>21</v>
      </c>
      <c r="F2" t="s">
        <v>20</v>
      </c>
      <c r="H2" t="s">
        <v>2</v>
      </c>
      <c r="I2" t="s">
        <v>3</v>
      </c>
      <c r="J2" t="s">
        <v>4</v>
      </c>
      <c r="K2" t="s">
        <v>5</v>
      </c>
    </row>
    <row r="3" spans="1:11">
      <c r="A3" t="s">
        <v>8</v>
      </c>
      <c r="B3" t="s">
        <v>9</v>
      </c>
      <c r="E3">
        <v>585.97</v>
      </c>
      <c r="F3">
        <f>3.0484*10^3</f>
        <v>3048.4</v>
      </c>
      <c r="G3">
        <f>E3/F3</f>
        <v>0.19222214932423567</v>
      </c>
      <c r="H3">
        <v>25</v>
      </c>
      <c r="I3">
        <v>1000</v>
      </c>
      <c r="J3">
        <v>1</v>
      </c>
      <c r="K3" t="s">
        <v>7</v>
      </c>
    </row>
    <row r="4" spans="1:11">
      <c r="A4" t="s">
        <v>8</v>
      </c>
      <c r="B4" t="s">
        <v>10</v>
      </c>
      <c r="E4">
        <v>1.153</v>
      </c>
      <c r="F4">
        <v>6.2984</v>
      </c>
      <c r="G4">
        <f t="shared" ref="G4:G23" si="0">E4/F4</f>
        <v>0.18306236504509082</v>
      </c>
      <c r="H4">
        <v>25</v>
      </c>
      <c r="I4">
        <v>1000</v>
      </c>
      <c r="J4">
        <v>1</v>
      </c>
      <c r="K4" t="s">
        <v>7</v>
      </c>
    </row>
    <row r="5" spans="1:11" s="1" customFormat="1">
      <c r="A5" s="1" t="s">
        <v>8</v>
      </c>
      <c r="B5" s="1" t="s">
        <v>11</v>
      </c>
      <c r="E5" s="1">
        <v>236.9914</v>
      </c>
      <c r="F5" s="1">
        <f>2.1648*10^3</f>
        <v>2164.8000000000002</v>
      </c>
      <c r="G5">
        <f t="shared" si="0"/>
        <v>0.10947496304508499</v>
      </c>
      <c r="H5" s="1">
        <v>25</v>
      </c>
      <c r="I5" s="1">
        <v>1000</v>
      </c>
      <c r="J5" s="1">
        <v>1</v>
      </c>
      <c r="K5" s="1" t="s">
        <v>7</v>
      </c>
    </row>
    <row r="6" spans="1:11">
      <c r="A6" t="s">
        <v>8</v>
      </c>
      <c r="B6" t="s">
        <v>9</v>
      </c>
      <c r="E6">
        <v>2.8E-3</v>
      </c>
      <c r="F6">
        <v>1.49E-2</v>
      </c>
      <c r="G6">
        <f t="shared" si="0"/>
        <v>0.18791946308724833</v>
      </c>
      <c r="H6">
        <v>25</v>
      </c>
      <c r="I6">
        <v>1000</v>
      </c>
      <c r="J6">
        <v>2</v>
      </c>
    </row>
    <row r="7" spans="1:11">
      <c r="A7" t="s">
        <v>8</v>
      </c>
      <c r="B7" t="s">
        <v>10</v>
      </c>
      <c r="E7">
        <v>1.1000000000000001E-3</v>
      </c>
      <c r="F7">
        <v>5.1999999999999998E-3</v>
      </c>
      <c r="G7">
        <f t="shared" si="0"/>
        <v>0.21153846153846156</v>
      </c>
      <c r="J7">
        <v>2</v>
      </c>
    </row>
    <row r="8" spans="1:11" s="1" customFormat="1">
      <c r="A8" s="1" t="s">
        <v>8</v>
      </c>
      <c r="B8" s="1" t="s">
        <v>11</v>
      </c>
      <c r="C8" s="1" t="s">
        <v>25</v>
      </c>
      <c r="D8" s="1" t="s">
        <v>26</v>
      </c>
      <c r="E8" s="1">
        <v>1.4E-3</v>
      </c>
      <c r="F8" s="1">
        <v>7.7999999999999996E-3</v>
      </c>
      <c r="G8">
        <f t="shared" si="0"/>
        <v>0.17948717948717949</v>
      </c>
      <c r="J8" s="1">
        <v>2</v>
      </c>
    </row>
    <row r="9" spans="1:11">
      <c r="A9" t="s">
        <v>8</v>
      </c>
      <c r="B9" t="s">
        <v>9</v>
      </c>
      <c r="E9">
        <f>3.2146*10^-4</f>
        <v>3.2146000000000003E-4</v>
      </c>
      <c r="F9">
        <v>1.1999999999999999E-3</v>
      </c>
      <c r="G9">
        <f t="shared" si="0"/>
        <v>0.26788333333333336</v>
      </c>
      <c r="J9">
        <v>3</v>
      </c>
    </row>
    <row r="10" spans="1:11">
      <c r="A10" t="s">
        <v>8</v>
      </c>
      <c r="B10" t="s">
        <v>10</v>
      </c>
      <c r="C10" t="s">
        <v>23</v>
      </c>
      <c r="E10">
        <f>9.68*10^-5</f>
        <v>9.6800000000000008E-5</v>
      </c>
      <c r="F10">
        <f>2.1466*10^-4</f>
        <v>2.1465999999999998E-4</v>
      </c>
      <c r="G10">
        <f t="shared" si="0"/>
        <v>0.45094568154290515</v>
      </c>
      <c r="J10">
        <v>3</v>
      </c>
    </row>
    <row r="11" spans="1:11" s="1" customFormat="1">
      <c r="A11" s="1" t="s">
        <v>8</v>
      </c>
      <c r="B11" s="1" t="s">
        <v>11</v>
      </c>
      <c r="E11" s="1">
        <f>3.2276*10^-4</f>
        <v>3.2276000000000001E-4</v>
      </c>
      <c r="F11" s="1">
        <f>1.2*10^-3</f>
        <v>1.1999999999999999E-3</v>
      </c>
      <c r="G11">
        <f t="shared" si="0"/>
        <v>0.26896666666666669</v>
      </c>
      <c r="J11" s="1">
        <v>3</v>
      </c>
    </row>
    <row r="12" spans="1:11">
      <c r="A12" t="s">
        <v>19</v>
      </c>
      <c r="B12" t="s">
        <v>9</v>
      </c>
      <c r="E12">
        <f>6.0808*10^-5</f>
        <v>6.0808000000000005E-5</v>
      </c>
      <c r="F12">
        <f>2.0956*10^-4</f>
        <v>2.0956000000000002E-4</v>
      </c>
      <c r="G12">
        <f t="shared" si="0"/>
        <v>0.29016987974804354</v>
      </c>
      <c r="J12">
        <v>4</v>
      </c>
    </row>
    <row r="13" spans="1:11">
      <c r="A13" t="s">
        <v>19</v>
      </c>
      <c r="B13" t="s">
        <v>10</v>
      </c>
      <c r="C13" t="s">
        <v>27</v>
      </c>
      <c r="E13">
        <f>6.0803*10^-5</f>
        <v>6.0803000000000007E-5</v>
      </c>
      <c r="F13">
        <f>2.0995*10^-4</f>
        <v>2.0995000000000001E-4</v>
      </c>
      <c r="G13">
        <f t="shared" si="0"/>
        <v>0.28960704929745179</v>
      </c>
      <c r="J13">
        <v>4</v>
      </c>
    </row>
    <row r="14" spans="1:11" s="1" customFormat="1">
      <c r="A14" s="1" t="s">
        <v>19</v>
      </c>
      <c r="B14" s="1" t="s">
        <v>11</v>
      </c>
      <c r="E14" s="1">
        <f>6.0933*10^-5</f>
        <v>6.0933000000000008E-5</v>
      </c>
      <c r="F14" s="1">
        <f>2.1014*10^-4</f>
        <v>2.1013999999999999E-4</v>
      </c>
      <c r="G14">
        <f t="shared" si="0"/>
        <v>0.28996383363471978</v>
      </c>
      <c r="J14" s="1">
        <v>4</v>
      </c>
    </row>
    <row r="15" spans="1:11">
      <c r="G15" t="e">
        <f t="shared" si="0"/>
        <v>#DIV/0!</v>
      </c>
    </row>
    <row r="16" spans="1:11">
      <c r="A16" t="s">
        <v>28</v>
      </c>
      <c r="E16">
        <v>0.49669999999999997</v>
      </c>
      <c r="F16">
        <v>2.7711000000000001</v>
      </c>
      <c r="G16">
        <f t="shared" si="0"/>
        <v>0.17924289993143516</v>
      </c>
      <c r="H16">
        <v>25</v>
      </c>
      <c r="I16">
        <v>1000</v>
      </c>
      <c r="J16">
        <v>1</v>
      </c>
      <c r="K16" t="s">
        <v>7</v>
      </c>
    </row>
    <row r="17" spans="1:15" s="1" customFormat="1">
      <c r="A17" s="1" t="s">
        <v>13</v>
      </c>
      <c r="E17" s="1">
        <v>1.4019999999999999</v>
      </c>
      <c r="F17" s="1">
        <v>12.338900000000001</v>
      </c>
      <c r="G17">
        <f t="shared" si="0"/>
        <v>0.11362439115318219</v>
      </c>
      <c r="H17" s="1">
        <v>25</v>
      </c>
      <c r="I17" s="1">
        <v>1000</v>
      </c>
      <c r="J17" s="1">
        <v>1</v>
      </c>
      <c r="K17" s="1" t="s">
        <v>7</v>
      </c>
    </row>
    <row r="18" spans="1:15">
      <c r="A18" t="s">
        <v>12</v>
      </c>
      <c r="E18">
        <f>8.1872*10^-4</f>
        <v>8.187200000000001E-4</v>
      </c>
      <c r="F18">
        <f>0.0034</f>
        <v>3.3999999999999998E-3</v>
      </c>
      <c r="G18">
        <f t="shared" si="0"/>
        <v>0.24080000000000004</v>
      </c>
      <c r="I18">
        <v>300</v>
      </c>
      <c r="J18">
        <v>2</v>
      </c>
      <c r="L18" t="s">
        <v>15</v>
      </c>
      <c r="M18" t="s">
        <v>18</v>
      </c>
      <c r="N18" t="s">
        <v>16</v>
      </c>
      <c r="O18" t="s">
        <v>17</v>
      </c>
    </row>
    <row r="19" spans="1:15" s="1" customFormat="1">
      <c r="A19" s="1" t="s">
        <v>13</v>
      </c>
      <c r="E19" s="1">
        <f>8.7734*10^-4</f>
        <v>8.7734000000000011E-4</v>
      </c>
      <c r="F19" s="1">
        <v>4.5999999999999999E-3</v>
      </c>
      <c r="G19">
        <f t="shared" si="0"/>
        <v>0.19072608695652177</v>
      </c>
      <c r="I19" s="1">
        <v>300</v>
      </c>
      <c r="J19" s="1">
        <v>2</v>
      </c>
    </row>
    <row r="20" spans="1:15">
      <c r="A20" t="s">
        <v>12</v>
      </c>
      <c r="E20">
        <f>9.6014*10^-5</f>
        <v>9.6014000000000006E-5</v>
      </c>
      <c r="F20">
        <f>4.3742*10^-4</f>
        <v>4.3742000000000005E-4</v>
      </c>
      <c r="G20">
        <f t="shared" si="0"/>
        <v>0.21950070870101959</v>
      </c>
      <c r="H20">
        <v>25</v>
      </c>
      <c r="I20">
        <v>1000</v>
      </c>
      <c r="J20">
        <v>3</v>
      </c>
    </row>
    <row r="21" spans="1:15" s="1" customFormat="1">
      <c r="A21" s="1" t="s">
        <v>13</v>
      </c>
      <c r="E21" s="1">
        <f>1.3927*10^-4</f>
        <v>1.3927000000000001E-4</v>
      </c>
      <c r="F21" s="1">
        <f>8.0894*10^-4</f>
        <v>8.0893999999999996E-4</v>
      </c>
      <c r="G21">
        <f t="shared" si="0"/>
        <v>0.17216357208198385</v>
      </c>
      <c r="J21" s="1">
        <v>3</v>
      </c>
    </row>
    <row r="22" spans="1:15">
      <c r="A22" t="s">
        <v>12</v>
      </c>
      <c r="E22">
        <f>3.0091*10^-5</f>
        <v>3.0091000000000004E-5</v>
      </c>
      <c r="F22">
        <f>7.8473*10^-5</f>
        <v>7.8473000000000006E-5</v>
      </c>
      <c r="G22">
        <f t="shared" si="0"/>
        <v>0.38345673034037187</v>
      </c>
      <c r="H22">
        <v>25</v>
      </c>
      <c r="I22">
        <v>1000</v>
      </c>
      <c r="J22">
        <v>4</v>
      </c>
    </row>
    <row r="23" spans="1:15">
      <c r="A23" t="s">
        <v>13</v>
      </c>
      <c r="E23">
        <f>3.8928*10^-5</f>
        <v>3.8928000000000004E-5</v>
      </c>
      <c r="F23">
        <f>1.4929*10^-4</f>
        <v>1.4929E-4</v>
      </c>
      <c r="G23">
        <f t="shared" si="0"/>
        <v>0.26075423672047693</v>
      </c>
      <c r="I23">
        <v>1000</v>
      </c>
      <c r="J23">
        <v>4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2020-08-25T03:38:46Z</dcterms:created>
  <dcterms:modified xsi:type="dcterms:W3CDTF">2020-09-15T11:57:56Z</dcterms:modified>
</cp:coreProperties>
</file>